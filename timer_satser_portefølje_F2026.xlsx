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eb\Documents\GitHub\pyportfolio\"/>
    </mc:Choice>
  </mc:AlternateContent>
  <xr:revisionPtr revIDLastSave="0" documentId="8_{055D7B57-35F0-425B-8B2C-8207FA9F1B0A}" xr6:coauthVersionLast="47" xr6:coauthVersionMax="47" xr10:uidLastSave="{00000000-0000-0000-0000-000000000000}"/>
  <bookViews>
    <workbookView xWindow="-108" yWindow="-108" windowWidth="23256" windowHeight="13896" xr2:uid="{77157CD1-E803-4A9E-9116-80DC8204BD59}"/>
  </bookViews>
  <sheets>
    <sheet name="Timesatser" sheetId="1" r:id="rId1"/>
    <sheet name="Preallokering" sheetId="2" r:id="rId2"/>
    <sheet name="Eksterne timer og portefølj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4" i="3"/>
  <c r="C3" i="3"/>
  <c r="C5" i="3"/>
  <c r="C6" i="3"/>
  <c r="C2" i="3"/>
  <c r="E8" i="1"/>
  <c r="F9" i="1"/>
  <c r="F8" i="1"/>
  <c r="F6" i="1"/>
  <c r="F4" i="1"/>
  <c r="F3" i="1"/>
</calcChain>
</file>

<file path=xl/sharedStrings.xml><?xml version="1.0" encoding="utf-8"?>
<sst xmlns="http://schemas.openxmlformats.org/spreadsheetml/2006/main" count="40" uniqueCount="17">
  <si>
    <t>Medarbejder</t>
  </si>
  <si>
    <t>Søren Erbs Poulsen (SOEB)</t>
  </si>
  <si>
    <t>Mathias Larsen (MATL)</t>
  </si>
  <si>
    <t>Rune Kier Nielsen (RUNI)</t>
  </si>
  <si>
    <t>Kristoffer Bested Nielsen (KRI)</t>
  </si>
  <si>
    <t>Søren Andersen (SSSA)</t>
  </si>
  <si>
    <t>Karl Woldum Tordrup (KART)</t>
  </si>
  <si>
    <t>Marton Major (MMAJ)</t>
  </si>
  <si>
    <t>LEG-DHC</t>
  </si>
  <si>
    <t>LTDE-repBC</t>
  </si>
  <si>
    <t>HEATCODE</t>
  </si>
  <si>
    <t>The Change</t>
  </si>
  <si>
    <t>COOLGEOHEAT II</t>
  </si>
  <si>
    <t>NN (ufordelt)</t>
  </si>
  <si>
    <t>Project budget [DKR]</t>
  </si>
  <si>
    <t>Portefølje [t]</t>
  </si>
  <si>
    <t>Ekstern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</si>
</sst>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69D6-B50C-4B1F-BF0D-7FB17D36871F}">
  <dimension ref="A1:H11"/>
  <sheetViews>
    <sheetView tabSelected="1" workbookViewId="0">
      <selection activeCell="F27" sqref="F27"/>
    </sheetView>
  </sheetViews>
  <sheetFormatPr defaultRowHeight="14.4" x14ac:dyDescent="0.3"/>
  <cols>
    <col min="1" max="1" width="32.88671875" customWidth="1"/>
    <col min="2" max="2" width="10.33203125" bestFit="1" customWidth="1"/>
    <col min="3" max="3" width="9.5546875" bestFit="1" customWidth="1"/>
    <col min="4" max="4" width="10.6640625" bestFit="1" customWidth="1"/>
    <col min="5" max="5" width="15.109375" bestFit="1" customWidth="1"/>
    <col min="6" max="6" width="10.109375" bestFit="1" customWidth="1"/>
    <col min="7" max="7" width="11.5546875" bestFit="1" customWidth="1"/>
    <col min="8" max="8" width="10.88671875" customWidth="1"/>
  </cols>
  <sheetData>
    <row r="1" spans="1:8" x14ac:dyDescent="0.3">
      <c r="A1" t="s">
        <v>0</v>
      </c>
      <c r="B1" t="s">
        <v>11</v>
      </c>
      <c r="C1" t="s">
        <v>8</v>
      </c>
      <c r="D1" t="s">
        <v>9</v>
      </c>
      <c r="E1" t="s">
        <v>12</v>
      </c>
      <c r="F1" t="s">
        <v>10</v>
      </c>
    </row>
    <row r="2" spans="1:8" x14ac:dyDescent="0.3">
      <c r="A2" t="s">
        <v>1</v>
      </c>
      <c r="B2" s="2">
        <v>638.89</v>
      </c>
      <c r="C2" s="2">
        <v>638.89</v>
      </c>
      <c r="D2" s="2">
        <v>656.64</v>
      </c>
      <c r="E2" s="2">
        <v>414.98</v>
      </c>
      <c r="F2" s="2">
        <v>716.77</v>
      </c>
      <c r="H2" s="2"/>
    </row>
    <row r="3" spans="1:8" x14ac:dyDescent="0.3">
      <c r="A3" t="s">
        <v>2</v>
      </c>
      <c r="B3" s="2">
        <v>531.36</v>
      </c>
      <c r="C3" s="2">
        <v>531.36</v>
      </c>
      <c r="D3" s="2">
        <v>531.30999999999995</v>
      </c>
      <c r="E3" s="2">
        <v>342.31</v>
      </c>
      <c r="F3" s="2">
        <f>F2/B2*B3</f>
        <v>596.13220930050568</v>
      </c>
      <c r="H3" s="2"/>
    </row>
    <row r="4" spans="1:8" x14ac:dyDescent="0.3">
      <c r="A4" t="s">
        <v>3</v>
      </c>
      <c r="B4" s="2">
        <v>582.94000000000005</v>
      </c>
      <c r="C4" s="2">
        <v>582.94000000000005</v>
      </c>
      <c r="D4" s="2">
        <v>582.94000000000005</v>
      </c>
      <c r="E4" s="2">
        <v>343.67</v>
      </c>
      <c r="F4" s="2">
        <f>F3/B3*B4</f>
        <v>653.99975551346881</v>
      </c>
      <c r="H4" s="2"/>
    </row>
    <row r="5" spans="1:8" x14ac:dyDescent="0.3">
      <c r="A5" t="s">
        <v>4</v>
      </c>
      <c r="B5" s="2">
        <v>472.53</v>
      </c>
      <c r="C5" s="2">
        <v>472.53</v>
      </c>
      <c r="D5" s="2">
        <v>499.35</v>
      </c>
      <c r="E5" s="2">
        <v>303.95</v>
      </c>
      <c r="F5" s="2">
        <v>529.55999999999995</v>
      </c>
      <c r="H5" s="2"/>
    </row>
    <row r="6" spans="1:8" x14ac:dyDescent="0.3">
      <c r="A6" t="s">
        <v>5</v>
      </c>
      <c r="B6" s="2">
        <v>531.36</v>
      </c>
      <c r="C6" s="2">
        <v>531.36</v>
      </c>
      <c r="D6" s="2">
        <v>531.36</v>
      </c>
      <c r="E6" s="2">
        <v>342.31</v>
      </c>
      <c r="F6" s="2">
        <f>F2/B2*B6</f>
        <v>596.13220930050568</v>
      </c>
      <c r="H6" s="2"/>
    </row>
    <row r="7" spans="1:8" x14ac:dyDescent="0.3">
      <c r="A7" t="s">
        <v>6</v>
      </c>
      <c r="B7" s="2">
        <v>584.08000000000004</v>
      </c>
      <c r="C7" s="2">
        <v>584.08000000000004</v>
      </c>
      <c r="D7" s="2">
        <v>584.08000000000004</v>
      </c>
      <c r="E7" s="2">
        <v>383.05</v>
      </c>
      <c r="F7" s="2">
        <v>655.27</v>
      </c>
      <c r="H7" s="2"/>
    </row>
    <row r="8" spans="1:8" x14ac:dyDescent="0.3">
      <c r="A8" t="s">
        <v>7</v>
      </c>
      <c r="B8" s="2">
        <v>531.36</v>
      </c>
      <c r="C8" s="2">
        <v>529.01</v>
      </c>
      <c r="D8" s="2">
        <v>529.01</v>
      </c>
      <c r="E8" s="2">
        <f>E2/B2*B8</f>
        <v>345.13573979871347</v>
      </c>
      <c r="F8" s="2">
        <f>F2/B2*B8</f>
        <v>596.13220930050568</v>
      </c>
      <c r="H8" s="2"/>
    </row>
    <row r="9" spans="1:8" x14ac:dyDescent="0.3">
      <c r="A9" t="s">
        <v>13</v>
      </c>
      <c r="B9" s="2">
        <v>535.9</v>
      </c>
      <c r="C9" s="2">
        <v>535.9</v>
      </c>
      <c r="D9" s="2">
        <v>570.24</v>
      </c>
      <c r="E9" s="2">
        <v>404.93</v>
      </c>
      <c r="F9" s="2">
        <f>F2/B2*B9</f>
        <v>601.22563039020804</v>
      </c>
      <c r="H9" s="2"/>
    </row>
    <row r="10" spans="1:8" x14ac:dyDescent="0.3">
      <c r="A10" t="s">
        <v>14</v>
      </c>
      <c r="B10" s="3">
        <v>369670</v>
      </c>
      <c r="C10" s="3">
        <v>230940</v>
      </c>
      <c r="D10" s="3">
        <v>398530</v>
      </c>
      <c r="E10" s="3">
        <v>299881</v>
      </c>
      <c r="F10" s="3">
        <v>149954</v>
      </c>
    </row>
    <row r="11" spans="1:8" x14ac:dyDescent="0.3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F24B-BB0B-4DEC-9BB4-BF764B163369}">
  <dimension ref="A1:F9"/>
  <sheetViews>
    <sheetView workbookViewId="0">
      <selection activeCell="E3" sqref="E3"/>
    </sheetView>
  </sheetViews>
  <sheetFormatPr defaultRowHeight="14.4" x14ac:dyDescent="0.3"/>
  <cols>
    <col min="1" max="1" width="27.6640625" bestFit="1" customWidth="1"/>
    <col min="2" max="2" width="11.109375" bestFit="1" customWidth="1"/>
    <col min="3" max="3" width="8.5546875" bestFit="1" customWidth="1"/>
    <col min="4" max="4" width="11" bestFit="1" customWidth="1"/>
    <col min="5" max="5" width="15.6640625" bestFit="1" customWidth="1"/>
    <col min="6" max="6" width="10.33203125" bestFit="1" customWidth="1"/>
  </cols>
  <sheetData>
    <row r="1" spans="1:6" x14ac:dyDescent="0.3">
      <c r="A1" t="s">
        <v>0</v>
      </c>
      <c r="B1" t="s">
        <v>11</v>
      </c>
      <c r="C1" t="s">
        <v>8</v>
      </c>
      <c r="D1" t="s">
        <v>9</v>
      </c>
      <c r="E1" t="s">
        <v>12</v>
      </c>
      <c r="F1" t="s">
        <v>10</v>
      </c>
    </row>
    <row r="2" spans="1:6" x14ac:dyDescent="0.3">
      <c r="A2" t="s">
        <v>1</v>
      </c>
      <c r="B2" s="3">
        <v>200</v>
      </c>
      <c r="C2" s="3">
        <v>0</v>
      </c>
      <c r="D2" s="3">
        <v>0</v>
      </c>
      <c r="E2" s="3">
        <v>50</v>
      </c>
      <c r="F2" s="3">
        <v>0</v>
      </c>
    </row>
    <row r="3" spans="1:6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t="s">
        <v>13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1053-821C-478F-AD24-BCAD2D7E7CD8}">
  <dimension ref="A1:C9"/>
  <sheetViews>
    <sheetView workbookViewId="0">
      <selection activeCell="B3" sqref="B3"/>
    </sheetView>
  </sheetViews>
  <sheetFormatPr defaultRowHeight="14.4" x14ac:dyDescent="0.3"/>
  <cols>
    <col min="1" max="1" width="27.6640625" bestFit="1" customWidth="1"/>
    <col min="2" max="2" width="13.44140625" customWidth="1"/>
    <col min="3" max="3" width="12" customWidth="1"/>
  </cols>
  <sheetData>
    <row r="1" spans="1:3" x14ac:dyDescent="0.3">
      <c r="A1" t="s">
        <v>0</v>
      </c>
      <c r="B1" t="s">
        <v>16</v>
      </c>
      <c r="C1" t="s">
        <v>15</v>
      </c>
    </row>
    <row r="2" spans="1:3" x14ac:dyDescent="0.3">
      <c r="A2" t="s">
        <v>1</v>
      </c>
      <c r="B2" s="3">
        <v>0</v>
      </c>
      <c r="C2" s="3">
        <f>1315/2</f>
        <v>657.5</v>
      </c>
    </row>
    <row r="3" spans="1:3" x14ac:dyDescent="0.3">
      <c r="A3" t="s">
        <v>2</v>
      </c>
      <c r="B3" s="3">
        <v>0</v>
      </c>
      <c r="C3" s="3">
        <f t="shared" ref="C3:C6" si="0">1315/2</f>
        <v>657.5</v>
      </c>
    </row>
    <row r="4" spans="1:3" x14ac:dyDescent="0.3">
      <c r="A4" t="s">
        <v>3</v>
      </c>
      <c r="B4" s="3">
        <v>480</v>
      </c>
      <c r="C4" s="3">
        <f t="shared" si="0"/>
        <v>657.5</v>
      </c>
    </row>
    <row r="5" spans="1:3" x14ac:dyDescent="0.3">
      <c r="A5" t="s">
        <v>4</v>
      </c>
      <c r="B5" s="3">
        <v>547</v>
      </c>
      <c r="C5" s="3">
        <f t="shared" si="0"/>
        <v>657.5</v>
      </c>
    </row>
    <row r="6" spans="1:3" x14ac:dyDescent="0.3">
      <c r="A6" t="s">
        <v>5</v>
      </c>
      <c r="B6" s="3">
        <v>500</v>
      </c>
      <c r="C6" s="3">
        <f t="shared" si="0"/>
        <v>657.5</v>
      </c>
    </row>
    <row r="7" spans="1:3" x14ac:dyDescent="0.3">
      <c r="A7" t="s">
        <v>6</v>
      </c>
      <c r="B7" s="3">
        <v>0</v>
      </c>
      <c r="C7" s="3">
        <v>100</v>
      </c>
    </row>
    <row r="8" spans="1:3" x14ac:dyDescent="0.3">
      <c r="A8" t="s">
        <v>7</v>
      </c>
      <c r="B8" s="3">
        <v>0</v>
      </c>
      <c r="C8" s="3">
        <f>1315/2</f>
        <v>657.5</v>
      </c>
    </row>
    <row r="9" spans="1:3" x14ac:dyDescent="0.3">
      <c r="A9" t="s">
        <v>13</v>
      </c>
      <c r="B9" s="3">
        <v>0</v>
      </c>
      <c r="C9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Timesatser</vt:lpstr>
      <vt:lpstr>Preallokering</vt:lpstr>
      <vt:lpstr>Eksterne timer og porteføljer</vt:lpstr>
    </vt:vector>
  </TitlesOfParts>
  <Company>VIA University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Erbs Poulsen (SOEB) | VIA</dc:creator>
  <cp:lastModifiedBy>Søren Erbs Poulsen (SOEB) | VIA</cp:lastModifiedBy>
  <dcterms:created xsi:type="dcterms:W3CDTF">2025-11-28T08:33:06Z</dcterms:created>
  <dcterms:modified xsi:type="dcterms:W3CDTF">2025-12-02T15:18:23Z</dcterms:modified>
</cp:coreProperties>
</file>